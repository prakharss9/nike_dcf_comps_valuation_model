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DCF" sheetId="3" state="visible" r:id="rId5"/>
    <sheet name="Comps" sheetId="4" state="visible" r:id="rId6"/>
    <sheet name="Sensitivities" sheetId="5" state="visible" r:id="rId7"/>
    <sheet name="Football Fiel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<sst xmlns="http://schemas.openxmlformats.org/spreadsheetml/2006/main" count="182" uniqueCount="161">
  <si>
    <t xml:space="preserve">NIKE, Inc. (NYSE: NKE) - DCF &amp; Comparable Company Valuation</t>
  </si>
  <si>
    <t xml:space="preserve">Independent project. $ in millions except per share. Market data as of Oct 9, 2026. Scenario switch: Assumptions!B3.</t>
  </si>
  <si>
    <t xml:space="preserve">Current share price</t>
  </si>
  <si>
    <t xml:space="preserve">WACC</t>
  </si>
  <si>
    <t xml:space="preserve">Terminal growth</t>
  </si>
  <si>
    <t xml:space="preserve">DCF value per share (selected scenario)</t>
  </si>
  <si>
    <t xml:space="preserve">Upside / (downside)</t>
  </si>
  <si>
    <t xml:space="preserve">Terminal value % of EV</t>
  </si>
  <si>
    <t xml:space="preserve">Exit-multiple cross-check ($/share, 12.0x)</t>
  </si>
  <si>
    <t xml:space="preserve">Comps median-implied value ($/share)</t>
  </si>
  <si>
    <t xml:space="preserve">Downside / Base / Upside DCF ($/share)</t>
  </si>
  <si>
    <t xml:space="preserve">$24.13 / $35.17 / $44.77</t>
  </si>
  <si>
    <t xml:space="preserve">Probability-weighted DCF (25/50/25)</t>
  </si>
  <si>
    <t xml:space="preserve">Conclusion</t>
  </si>
  <si>
    <t xml:space="preserve">HOLD. The base-case DCF ($35.17) is within 2% of the $34.71 price, so the market already prices in a margin recovery from 8.2% to about 11% by FY2031. Downside (margins stall near 8%) is $24.13 (-30%) and upside (margins return to 13.5%) is $44.77 (+29%), roughly symmetric; the probability-weighted value is $34.81. About 79% of EV sits in the terminal value, so the call depends on the margin recovery and on WACC (+/-50bp of WACC moves value by about $2.5-3 per share). Comps imply about $31 at the median peer multiple. Would turn Buy below roughly $29 (about 20% upside to base) or on evidence of gross-margin recovery; key risks are tariffs, China, and wholesale/DTC mix.</t>
  </si>
  <si>
    <t xml:space="preserve">NIKE (NKE) - DCF Assumptions ($ in millions, except per share)</t>
  </si>
  <si>
    <t xml:space="preserve">Blue = input. Fiscal year ends May 31. Valuation date Oct 10, 2026 (prices as of Oct 9, 2026 close). Scenario: 1=Base, 2=Downside, 3=Upside.</t>
  </si>
  <si>
    <t xml:space="preserve">Scenario (1/2/3)</t>
  </si>
  <si>
    <t xml:space="preserve">MARKET &amp; BALANCE SHEET</t>
  </si>
  <si>
    <t xml:space="preserve">Share price ($)</t>
  </si>
  <si>
    <t xml:space="preserve">Diluted shares (mm)</t>
  </si>
  <si>
    <t xml:space="preserve">Market cap</t>
  </si>
  <si>
    <t xml:space="preserve">Total debt (LT $5,942 + current $2,000)</t>
  </si>
  <si>
    <t xml:space="preserve">Cash + short-term investments ($7,563 + $1,464)</t>
  </si>
  <si>
    <t xml:space="preserve">FY2026 revenue</t>
  </si>
  <si>
    <t xml:space="preserve">COST OF CAPITAL</t>
  </si>
  <si>
    <t xml:space="preserve">Risk-free rate (10Y UST, Oct 9, 2026)</t>
  </si>
  <si>
    <t xml:space="preserve">Equity risk premium (assumption)</t>
  </si>
  <si>
    <t xml:space="preserve">Beta (60-month regression vs SPY)</t>
  </si>
  <si>
    <t xml:space="preserve">Cost of equity</t>
  </si>
  <si>
    <t xml:space="preserve">Pre-tax cost of debt (assumption)</t>
  </si>
  <si>
    <t xml:space="preserve">Tax rate</t>
  </si>
  <si>
    <t xml:space="preserve">Equity weight</t>
  </si>
  <si>
    <t xml:space="preserve">Debt weight</t>
  </si>
  <si>
    <t xml:space="preserve">OPERATING &amp; TERMINAL</t>
  </si>
  <si>
    <t xml:space="preserve">D&amp;A (% revenue)</t>
  </si>
  <si>
    <t xml:space="preserve">Capex (% revenue)</t>
  </si>
  <si>
    <t xml:space="preserve">Change in NWC (% of change in revenue)</t>
  </si>
  <si>
    <t xml:space="preserve">Terminal growth rate</t>
  </si>
  <si>
    <t xml:space="preserve">Stub: fraction of FY2027 remaining at valuation date</t>
  </si>
  <si>
    <t xml:space="preserve">Exit multiple cross-check (EV/EBITDA)</t>
  </si>
  <si>
    <t xml:space="preserve">Operating cases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</si>
  <si>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</si>
  <si>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</si>
  <si>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</si>
  <si>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</si>
  <si>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</si>
  <si>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 growth - Base</t>
  </si>
  <si>
    <t xml:space="preserve">EBIT margin - Base</t>
  </si>
  <si>
    <t xml:space="preserve">Revenue growth - Downside</t>
  </si>
  <si>
    <t xml:space="preserve">EBIT margin - Downside</t>
  </si>
  <si>
    <t xml:space="preserve">Revenue growth - Upside</t>
  </si>
  <si>
    <t xml:space="preserve">EBIT margin - Upside</t>
  </si>
  <si>
    <t xml:space="preserve">Notes: FY2027 and FY2028 revenue use consensus ($42.9B, $43.1B); FY2027-28 EBIT margins are derived from consensus EBITDA less D&amp;A (5.6% and 6.6%). FY2026 EBIT margin was 8.2% vs 12.3% in FY2024. Base case assumes a gradual recovery to 11% by FY2031. Cost of debt, ERP, terminal growth and the outer-year recovery path are my assumptions.</t>
  </si>
  <si>
    <t xml:space="preserve">NIKE - Discounted Cash Flow ($ in millions)</t>
  </si>
  <si>
    <t xml:space="preserve">FY2026A</t>
  </si>
  <si>
    <t xml:space="preserve">Revenue</t>
  </si>
  <si>
    <t xml:space="preserve">  growth %</t>
  </si>
  <si>
    <t xml:space="preserve">  EBIT margin %</t>
  </si>
  <si>
    <t xml:space="preserve">EBIT</t>
  </si>
  <si>
    <t xml:space="preserve">Less: taxes</t>
  </si>
  <si>
    <t xml:space="preserve">NOPAT</t>
  </si>
  <si>
    <t xml:space="preserve">Plus: D&amp;A</t>
  </si>
  <si>
    <t xml:space="preserve">Less: capex</t>
  </si>
  <si>
    <t xml:space="preserve">Less: increase in NWC</t>
  </si>
  <si>
    <t xml:space="preserve">Unlevered FCF</t>
  </si>
  <si>
    <t xml:space="preserve">Fraction of year counted</t>
  </si>
  <si>
    <t xml:space="preserve">FCF counted</t>
  </si>
  <si>
    <t xml:space="preserve">Discount period (years)</t>
  </si>
  <si>
    <t xml:space="preserve">Discount factor</t>
  </si>
  <si>
    <t xml:space="preserve">PV of FCF</t>
  </si>
  <si>
    <t xml:space="preserve">Valuation (perpetuity growth)</t>
  </si>
  <si>
    <t xml:space="preserve">Value</t>
  </si>
  <si>
    <t xml:space="preserve">Sum of PV of FCF</t>
  </si>
  <si>
    <t xml:space="preserve">Terminal value (FY2031 FCF x (1+g) / (WACC - g))</t>
  </si>
  <si>
    <t xml:space="preserve">PV of terminal value</t>
  </si>
  <si>
    <t xml:space="preserve">Enterprise value</t>
  </si>
  <si>
    <t xml:space="preserve">Less: debt</t>
  </si>
  <si>
    <t xml:space="preserve">Plus: cash &amp; ST investments</t>
  </si>
  <si>
    <t xml:space="preserve">Equity value</t>
  </si>
  <si>
    <t xml:space="preserve">Implied value per share ($)</t>
  </si>
  <si>
    <t xml:space="preserve">Upside / (downside) vs current</t>
  </si>
  <si>
    <t xml:space="preserve">Implied terminal EV/EBITDA</t>
  </si>
  <si>
    <t xml:space="preserve">Cross-check: exit multiple method</t>
  </si>
  <si>
    <t xml:space="preserve">FY2031 EBITDA</t>
  </si>
  <si>
    <t xml:space="preserve">Exit EV/EBITDA</t>
  </si>
  <si>
    <t xml:space="preserve">Terminal value</t>
  </si>
  <si>
    <t xml:space="preserve">Comparable companies - EV/EBITDA and EV/Sales at each company's latest fiscal year-end</t>
  </si>
  <si>
    <t xml:space="preserve">Caution: multiples are at fiscal year-end dates (some are 6-12 months old) because only annual ratio data was available; refresh with current prices before relying on them.</t>
  </si>
  <si>
    <t xml:space="preserve">Company</t>
  </si>
  <si>
    <t xml:space="preserve">Ticker</t>
  </si>
  <si>
    <t xml:space="preserve">Fiscal year-end</t>
  </si>
  <si>
    <t xml:space="preserve">EV/EBITDA</t>
  </si>
  <si>
    <t xml:space="preserve">EV/Sales</t>
  </si>
  <si>
    <t xml:space="preserve">Included?</t>
  </si>
  <si>
    <t xml:space="preserve">Lululemon</t>
  </si>
  <si>
    <t xml:space="preserve">LULU</t>
  </si>
  <si>
    <t xml:space="preserve">2026-02-01</t>
  </si>
  <si>
    <t xml:space="preserve">Yes</t>
  </si>
  <si>
    <t xml:space="preserve">Deckers</t>
  </si>
  <si>
    <t xml:space="preserve">DECK</t>
  </si>
  <si>
    <t xml:space="preserve">2026-03-31</t>
  </si>
  <si>
    <t xml:space="preserve">V.F. Corp</t>
  </si>
  <si>
    <t xml:space="preserve">VFC</t>
  </si>
  <si>
    <t xml:space="preserve">2026-03-28</t>
  </si>
  <si>
    <t xml:space="preserve">Columbia Sportswear</t>
  </si>
  <si>
    <t xml:space="preserve">COLM</t>
  </si>
  <si>
    <t xml:space="preserve">2025-12-31</t>
  </si>
  <si>
    <t xml:space="preserve">Birkenstock</t>
  </si>
  <si>
    <t xml:space="preserve">BIRK</t>
  </si>
  <si>
    <t xml:space="preserve">2025-09-30</t>
  </si>
  <si>
    <t xml:space="preserve">On Holding</t>
  </si>
  <si>
    <t xml:space="preserve">ONON</t>
  </si>
  <si>
    <t xml:space="preserve">Amer Sports</t>
  </si>
  <si>
    <t xml:space="preserve">AS</t>
  </si>
  <si>
    <t xml:space="preserve">Excluded: Crocs (FY2025 EV/EBITDA of 25.2x distorted by write-downs), Under Armour (negative EBITDA), adidas and PUMA (no ratio data pulled).</t>
  </si>
  <si>
    <t xml:space="preserve">25th percentile EV/EBITDA</t>
  </si>
  <si>
    <t xml:space="preserve">Median EV/EBITDA</t>
  </si>
  <si>
    <t xml:space="preserve">75th percentile EV/EBITDA</t>
  </si>
  <si>
    <t xml:space="preserve">NKE FY2026 EBITDA (EBIT $3,797 + D&amp;A $747)</t>
  </si>
  <si>
    <t xml:space="preserve">NKE current EV / FY2026 EBITDA</t>
  </si>
  <si>
    <t xml:space="preserve">Implied NKE value per share</t>
  </si>
  <si>
    <t xml:space="preserve">Low (25th pct)</t>
  </si>
  <si>
    <t xml:space="preserve">Median</t>
  </si>
  <si>
    <t xml:space="preserve">High (75th pct)</t>
  </si>
  <si>
    <t xml:space="preserve">EV/EBITDA x FY2026 EBITDA</t>
  </si>
  <si>
    <t xml:space="preserve">Sensitivity analysis (static values computed by a Python replica verified against the live DCF at base inputs)</t>
  </si>
  <si>
    <t xml:space="preserve">Base case value per share ($): WACC (rows) vs terminal growth (columns)</t>
  </si>
  <si>
    <t xml:space="preserve">WACC \ g</t>
  </si>
  <si>
    <t xml:space="preserve">2.0%</t>
  </si>
  <si>
    <t xml:space="preserve">2.5%</t>
  </si>
  <si>
    <t xml:space="preserve">3.0%</t>
  </si>
  <si>
    <t xml:space="preserve">3.5%</t>
  </si>
  <si>
    <t xml:space="preserve">4.0%</t>
  </si>
  <si>
    <t xml:space="preserve">8.66%</t>
  </si>
  <si>
    <t xml:space="preserve">9.16%</t>
  </si>
  <si>
    <t xml:space="preserve">9.66%</t>
  </si>
  <si>
    <t xml:space="preserve">10.16%</t>
  </si>
  <si>
    <t xml:space="preserve">10.66%</t>
  </si>
  <si>
    <t xml:space="preserve">Scenario summary</t>
  </si>
  <si>
    <t xml:space="preserve">Scenario</t>
  </si>
  <si>
    <t xml:space="preserve">Value/share</t>
  </si>
  <si>
    <t xml:space="preserve">vs $34.71</t>
  </si>
  <si>
    <t xml:space="preserve">FY31 EBIT margin</t>
  </si>
  <si>
    <t xml:space="preserve">TV % of EV</t>
  </si>
  <si>
    <t xml:space="preserve">Weight</t>
  </si>
  <si>
    <t xml:space="preserve">Downside</t>
  </si>
  <si>
    <t xml:space="preserve">Base</t>
  </si>
  <si>
    <t xml:space="preserve">Upside</t>
  </si>
  <si>
    <t xml:space="preserve">Probability-weighted value</t>
  </si>
  <si>
    <t xml:space="preserve">Break-even: base-case FY2031 EBIT margin needed for $34.71 is about 11% (the base case); each 1 pt of FY2031 EBIT margin is worth about $3 per share.</t>
  </si>
  <si>
    <t xml:space="preserve">Valuation summary - value per share ($)</t>
  </si>
  <si>
    <t xml:space="preserve">Method</t>
  </si>
  <si>
    <t xml:space="preserve">Low</t>
  </si>
  <si>
    <t xml:space="preserve">High</t>
  </si>
  <si>
    <t xml:space="preserve">Midpoint</t>
  </si>
  <si>
    <t xml:space="preserve">52-week trading range</t>
  </si>
  <si>
    <t xml:space="preserve">DCF: downside to upside scenarios</t>
  </si>
  <si>
    <t xml:space="preserve">Comps: EV/EBITDA 25th-75th pct (FY2026 EBITDA)</t>
  </si>
  <si>
    <t xml:space="preserve">Current price</t>
  </si>
  <si>
    <t xml:space="preserve">DCF base case (live; follows scenario switch)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</si>
</sst>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0.00"/>
    <numFmt numFmtId="166" formatCode="0.00%"/>
    <numFmt numFmtId="167" formatCode="0.0%"/>
    <numFmt numFmtId="168" formatCode="0"/>
    <numFmt numFmtId="169" formatCode="0.00"/>
    <numFmt numFmtId="170" formatCode="#,##0"/>
    <numFmt numFmtId="171" formatCode="#,##0.0"/>
    <numFmt numFmtId="172" formatCode="0.0\x"/>
    <numFmt numFmtId="173" formatCode="#,##0;\(#,##0\)"/>
    <numFmt numFmtId="174" formatCode="0.000"/>
    <numFmt numFmtId="17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2" t="n">
        <f aca="false">Assumptions!B5</f>
        <v>34.71</v>
      </c>
    </row>
    <row r="5" customFormat="false" ht="15" hidden="false" customHeight="false" outlineLevel="0" collapsed="false">
      <c r="A5" s="0" t="s">
        <v>3</v>
      </c>
      <c r="B5" s="3" t="n">
        <f aca="false">Assumptions!B21</f>
        <v>0.0966329199982464</v>
      </c>
    </row>
    <row r="6" customFormat="false" ht="15" hidden="false" customHeight="false" outlineLevel="0" collapsed="false">
      <c r="A6" s="0" t="s">
        <v>4</v>
      </c>
      <c r="B6" s="4" t="n">
        <f aca="false">Assumptions!B27</f>
        <v>0.03</v>
      </c>
    </row>
    <row r="7" customFormat="false" ht="15" hidden="false" customHeight="false" outlineLevel="0" collapsed="false">
      <c r="A7" s="0" t="s">
        <v>5</v>
      </c>
      <c r="B7" s="2" t="n">
        <f aca="false">DCF!B29</f>
        <v>35.1741924416954</v>
      </c>
    </row>
    <row r="8" customFormat="false" ht="15" hidden="false" customHeight="false" outlineLevel="0" collapsed="false">
      <c r="A8" s="0" t="s">
        <v>6</v>
      </c>
      <c r="B8" s="4" t="n">
        <f aca="false">DCF!B30</f>
        <v>0.0133734497751483</v>
      </c>
    </row>
    <row r="9" customFormat="false" ht="15" hidden="false" customHeight="false" outlineLevel="0" collapsed="false">
      <c r="A9" s="0" t="s">
        <v>7</v>
      </c>
      <c r="B9" s="4" t="n">
        <f aca="false">DCF!B31</f>
        <v>0.794662745192944</v>
      </c>
    </row>
    <row r="10" customFormat="false" ht="15" hidden="false" customHeight="false" outlineLevel="0" collapsed="false">
      <c r="A10" s="0" t="s">
        <v>8</v>
      </c>
      <c r="B10" s="2" t="n">
        <f aca="false">DCF!B41</f>
        <v>40.7443896267193</v>
      </c>
    </row>
    <row r="11" customFormat="false" ht="15" hidden="false" customHeight="false" outlineLevel="0" collapsed="false">
      <c r="A11" s="0" t="s">
        <v>9</v>
      </c>
      <c r="B11" s="2" t="n">
        <f aca="false">Comps!E22</f>
        <v>31.3805459459459</v>
      </c>
    </row>
    <row r="12" customFormat="false" ht="15" hidden="false" customHeight="false" outlineLevel="0" collapsed="false">
      <c r="A12" s="0" t="s">
        <v>10</v>
      </c>
      <c r="B12" s="5" t="s">
        <v>11</v>
      </c>
    </row>
    <row r="13" customFormat="false" ht="15" hidden="false" customHeight="false" outlineLevel="0" collapsed="false">
      <c r="A13" s="0" t="s">
        <v>12</v>
      </c>
      <c r="B13" s="2" t="n">
        <v>34.812642824461</v>
      </c>
    </row>
    <row r="15" customFormat="false" ht="15" hidden="false" customHeight="false" outlineLevel="0" collapsed="false">
      <c r="A15" s="5" t="s">
        <v>13</v>
      </c>
    </row>
    <row r="16" customFormat="false" ht="15" hidden="false" customHeight="true" outlineLevel="0" collapsed="false">
      <c r="A16" s="6" t="s">
        <v>14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</row>
  </sheetData>
  <mergeCells count="1">
    <mergeCell ref="A16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0" t="s">
        <v>17</v>
      </c>
      <c r="B3" s="7" t="n">
        <v>1</v>
      </c>
    </row>
    <row r="4" customFormat="false" ht="15" hidden="false" customHeight="false" outlineLevel="0" collapsed="false">
      <c r="A4" s="8" t="s">
        <v>18</v>
      </c>
      <c r="B4" s="9"/>
    </row>
    <row r="5" customFormat="false" ht="15" hidden="false" customHeight="false" outlineLevel="0" collapsed="false">
      <c r="A5" s="0" t="s">
        <v>19</v>
      </c>
      <c r="B5" s="10" t="n">
        <v>34.71</v>
      </c>
    </row>
    <row r="6" customFormat="false" ht="15" hidden="false" customHeight="false" outlineLevel="0" collapsed="false">
      <c r="A6" s="0" t="s">
        <v>20</v>
      </c>
      <c r="B6" s="11" t="n">
        <v>1480</v>
      </c>
    </row>
    <row r="7" customFormat="false" ht="15" hidden="false" customHeight="false" outlineLevel="0" collapsed="false">
      <c r="A7" s="0" t="s">
        <v>21</v>
      </c>
      <c r="B7" s="12" t="n">
        <v>51364.2</v>
      </c>
    </row>
    <row r="8" customFormat="false" ht="15" hidden="false" customHeight="false" outlineLevel="0" collapsed="false">
      <c r="A8" s="0" t="s">
        <v>22</v>
      </c>
      <c r="B8" s="11" t="n">
        <v>7942</v>
      </c>
    </row>
    <row r="9" customFormat="false" ht="15" hidden="false" customHeight="false" outlineLevel="0" collapsed="false">
      <c r="A9" s="0" t="s">
        <v>23</v>
      </c>
      <c r="B9" s="11" t="n">
        <v>9027</v>
      </c>
    </row>
    <row r="10" customFormat="false" ht="15" hidden="false" customHeight="false" outlineLevel="0" collapsed="false">
      <c r="A10" s="0" t="s">
        <v>24</v>
      </c>
      <c r="B10" s="11" t="n">
        <v>46398</v>
      </c>
    </row>
    <row r="12" customFormat="false" ht="15" hidden="false" customHeight="false" outlineLevel="0" collapsed="false">
      <c r="A12" s="8" t="s">
        <v>25</v>
      </c>
      <c r="B12" s="9"/>
    </row>
    <row r="13" customFormat="false" ht="15" hidden="false" customHeight="false" outlineLevel="0" collapsed="false">
      <c r="A13" s="0" t="s">
        <v>26</v>
      </c>
      <c r="B13" s="13" t="n">
        <v>0.0524</v>
      </c>
    </row>
    <row r="14" customFormat="false" ht="15" hidden="false" customHeight="false" outlineLevel="0" collapsed="false">
      <c r="A14" s="0" t="s">
        <v>27</v>
      </c>
      <c r="B14" s="13" t="n">
        <v>0.05</v>
      </c>
    </row>
    <row r="15" customFormat="false" ht="15" hidden="false" customHeight="false" outlineLevel="0" collapsed="false">
      <c r="A15" s="0" t="s">
        <v>28</v>
      </c>
      <c r="B15" s="10" t="n">
        <v>1.04</v>
      </c>
    </row>
    <row r="16" customFormat="false" ht="15" hidden="false" customHeight="false" outlineLevel="0" collapsed="false">
      <c r="A16" s="0" t="s">
        <v>29</v>
      </c>
      <c r="B16" s="14" t="n">
        <f aca="false">B13+B15*B14</f>
        <v>0.1044</v>
      </c>
    </row>
    <row r="17" customFormat="false" ht="15" hidden="false" customHeight="false" outlineLevel="0" collapsed="false">
      <c r="A17" s="0" t="s">
        <v>30</v>
      </c>
      <c r="B17" s="13" t="n">
        <v>0.058</v>
      </c>
    </row>
    <row r="18" customFormat="false" ht="15" hidden="false" customHeight="false" outlineLevel="0" collapsed="false">
      <c r="A18" s="0" t="s">
        <v>31</v>
      </c>
      <c r="B18" s="15" t="n">
        <v>0.2</v>
      </c>
    </row>
    <row r="19" customFormat="false" ht="15" hidden="false" customHeight="false" outlineLevel="0" collapsed="false">
      <c r="A19" s="0" t="s">
        <v>32</v>
      </c>
      <c r="B19" s="16" t="n">
        <f aca="false">B7/(B7+B8)</f>
        <v>0.866084827555972</v>
      </c>
    </row>
    <row r="20" customFormat="false" ht="15" hidden="false" customHeight="false" outlineLevel="0" collapsed="false">
      <c r="A20" s="0" t="s">
        <v>33</v>
      </c>
      <c r="B20" s="16" t="n">
        <f aca="false">1-B19</f>
        <v>0.133915172444028</v>
      </c>
    </row>
    <row r="21" customFormat="false" ht="15" hidden="false" customHeight="false" outlineLevel="0" collapsed="false">
      <c r="A21" s="0" t="s">
        <v>3</v>
      </c>
      <c r="B21" s="14" t="n">
        <f aca="false">B16*B19+B17*(1-B18)*B20</f>
        <v>0.0966329199982464</v>
      </c>
    </row>
    <row r="23" customFormat="false" ht="15" hidden="false" customHeight="false" outlineLevel="0" collapsed="false">
      <c r="A23" s="8" t="s">
        <v>34</v>
      </c>
      <c r="B23" s="9"/>
    </row>
    <row r="24" customFormat="false" ht="15" hidden="false" customHeight="false" outlineLevel="0" collapsed="false">
      <c r="A24" s="0" t="s">
        <v>35</v>
      </c>
      <c r="B24" s="13" t="n">
        <v>0.0161</v>
      </c>
    </row>
    <row r="25" customFormat="false" ht="15" hidden="false" customHeight="false" outlineLevel="0" collapsed="false">
      <c r="A25" s="0" t="s">
        <v>36</v>
      </c>
      <c r="B25" s="13" t="n">
        <v>0.018</v>
      </c>
    </row>
    <row r="26" customFormat="false" ht="15" hidden="false" customHeight="false" outlineLevel="0" collapsed="false">
      <c r="A26" s="0" t="s">
        <v>37</v>
      </c>
      <c r="B26" s="15" t="n">
        <v>0.1</v>
      </c>
    </row>
    <row r="27" customFormat="false" ht="15" hidden="false" customHeight="false" outlineLevel="0" collapsed="false">
      <c r="A27" s="0" t="s">
        <v>38</v>
      </c>
      <c r="B27" s="15" t="n">
        <v>0.03</v>
      </c>
    </row>
    <row r="28" customFormat="false" ht="15" hidden="false" customHeight="false" outlineLevel="0" collapsed="false">
      <c r="A28" s="0" t="s">
        <v>39</v>
      </c>
      <c r="B28" s="10" t="n">
        <v>0.64</v>
      </c>
    </row>
    <row r="29" customFormat="false" ht="15" hidden="false" customHeight="false" outlineLevel="0" collapsed="false">
      <c r="A29" s="0" t="s">
        <v>40</v>
      </c>
      <c r="B29" s="17" t="n">
        <v>12</v>
      </c>
    </row>
    <row r="31" customFormat="false" ht="15" hidden="false" customHeight="false" outlineLevel="0" collapsed="false">
      <c r="A31" s="18" t="s">
        <v>41</v>
      </c>
      <c r="B31" s="19" t="s">
        <v>42</v>
      </c>
      <c r="C31" s="19" t="s">
        <v>43</v>
      </c>
      <c r="D31" s="19" t="s">
        <v>44</v>
      </c>
      <c r="E31" s="19" t="s">
        <v>45</v>
      </c>
      <c r="F31" s="19" t="s">
        <v>46</v>
      </c>
    </row>
    <row r="32" customFormat="false" ht="15" hidden="false" customHeight="false" outlineLevel="0" collapsed="false">
      <c r="A32" s="0" t="s">
        <v>47</v>
      </c>
      <c r="B32" s="15" t="n">
        <v>-0.0749</v>
      </c>
      <c r="C32" s="15" t="n">
        <v>0.0043</v>
      </c>
      <c r="D32" s="15" t="n">
        <v>0.04</v>
      </c>
      <c r="E32" s="15" t="n">
        <v>0.05</v>
      </c>
      <c r="F32" s="15" t="n">
        <v>0.05</v>
      </c>
    </row>
    <row r="33" customFormat="false" ht="15" hidden="false" customHeight="false" outlineLevel="0" collapsed="false">
      <c r="A33" s="0" t="s">
        <v>48</v>
      </c>
      <c r="B33" s="15" t="n">
        <v>0.056</v>
      </c>
      <c r="C33" s="15" t="n">
        <v>0.066</v>
      </c>
      <c r="D33" s="15" t="n">
        <v>0.085</v>
      </c>
      <c r="E33" s="15" t="n">
        <v>0.1</v>
      </c>
      <c r="F33" s="15" t="n">
        <v>0.11</v>
      </c>
    </row>
    <row r="34" customFormat="false" ht="15" hidden="false" customHeight="false" outlineLevel="0" collapsed="false">
      <c r="A34" s="0" t="s">
        <v>49</v>
      </c>
      <c r="B34" s="15" t="n">
        <v>-0.0749</v>
      </c>
      <c r="C34" s="15" t="n">
        <v>-0.02</v>
      </c>
      <c r="D34" s="15" t="n">
        <v>0.01</v>
      </c>
      <c r="E34" s="15" t="n">
        <v>0.02</v>
      </c>
      <c r="F34" s="15" t="n">
        <v>0.03</v>
      </c>
    </row>
    <row r="35" customFormat="false" ht="15" hidden="false" customHeight="false" outlineLevel="0" collapsed="false">
      <c r="A35" s="0" t="s">
        <v>50</v>
      </c>
      <c r="B35" s="15" t="n">
        <v>0.056</v>
      </c>
      <c r="C35" s="15" t="n">
        <v>0.055</v>
      </c>
      <c r="D35" s="15" t="n">
        <v>0.065</v>
      </c>
      <c r="E35" s="15" t="n">
        <v>0.075</v>
      </c>
      <c r="F35" s="15" t="n">
        <v>0.08</v>
      </c>
    </row>
    <row r="36" customFormat="false" ht="15" hidden="false" customHeight="false" outlineLevel="0" collapsed="false">
      <c r="A36" s="0" t="s">
        <v>51</v>
      </c>
      <c r="B36" s="15" t="n">
        <v>-0.0749</v>
      </c>
      <c r="C36" s="15" t="n">
        <v>0.01</v>
      </c>
      <c r="D36" s="15" t="n">
        <v>0.06</v>
      </c>
      <c r="E36" s="15" t="n">
        <v>0.07</v>
      </c>
      <c r="F36" s="15" t="n">
        <v>0.07</v>
      </c>
    </row>
    <row r="37" customFormat="false" ht="15" hidden="false" customHeight="false" outlineLevel="0" collapsed="false">
      <c r="A37" s="0" t="s">
        <v>52</v>
      </c>
      <c r="B37" s="15" t="n">
        <v>0.056</v>
      </c>
      <c r="C37" s="15" t="n">
        <v>0.07</v>
      </c>
      <c r="D37" s="15" t="n">
        <v>0.1</v>
      </c>
      <c r="E37" s="15" t="n">
        <v>0.12</v>
      </c>
      <c r="F37" s="15" t="n">
        <v>0.135</v>
      </c>
    </row>
    <row r="39" customFormat="false" ht="15" hidden="false" customHeight="true" outlineLevel="0" collapsed="false">
      <c r="A39" s="6" t="s">
        <v>53</v>
      </c>
      <c r="B39" s="6"/>
      <c r="C39" s="6"/>
      <c r="D39" s="6"/>
      <c r="E39" s="6"/>
      <c r="F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</row>
  </sheetData>
  <mergeCells count="1">
    <mergeCell ref="A39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18"/>
      <c r="B3" s="19" t="s">
        <v>55</v>
      </c>
      <c r="C3" s="19" t="s">
        <v>42</v>
      </c>
      <c r="D3" s="19" t="s">
        <v>43</v>
      </c>
      <c r="E3" s="19" t="s">
        <v>44</v>
      </c>
      <c r="F3" s="19" t="s">
        <v>45</v>
      </c>
      <c r="G3" s="19" t="s">
        <v>46</v>
      </c>
    </row>
    <row r="4" customFormat="false" ht="15" hidden="false" customHeight="false" outlineLevel="0" collapsed="false">
      <c r="A4" s="0" t="s">
        <v>56</v>
      </c>
      <c r="B4" s="20" t="n">
        <f aca="false">Assumptions!B10</f>
        <v>46398</v>
      </c>
      <c r="C4" s="20" t="n">
        <f aca="false">B4*(1+C5)</f>
        <v>42922.7898</v>
      </c>
      <c r="D4" s="20" t="n">
        <f aca="false">C4*(1+D5)</f>
        <v>43107.35779614</v>
      </c>
      <c r="E4" s="20" t="n">
        <f aca="false">D4*(1+E5)</f>
        <v>44831.6521079856</v>
      </c>
      <c r="F4" s="20" t="n">
        <f aca="false">E4*(1+F5)</f>
        <v>47073.2347133849</v>
      </c>
      <c r="G4" s="20" t="n">
        <f aca="false">F4*(1+G5)</f>
        <v>49426.8964490541</v>
      </c>
    </row>
    <row r="5" customFormat="false" ht="15" hidden="false" customHeight="false" outlineLevel="0" collapsed="false">
      <c r="A5" s="0" t="s">
        <v>57</v>
      </c>
      <c r="B5" s="16"/>
      <c r="C5" s="16" t="n">
        <f aca="false">CHOOSE(Assumptions!$B$3,Assumptions!B32,Assumptions!B34,Assumptions!B36)</f>
        <v>-0.0749</v>
      </c>
      <c r="D5" s="16" t="n">
        <f aca="false">CHOOSE(Assumptions!$B$3,Assumptions!C32,Assumptions!C34,Assumptions!C36)</f>
        <v>0.0043</v>
      </c>
      <c r="E5" s="16" t="n">
        <f aca="false">CHOOSE(Assumptions!$B$3,Assumptions!D32,Assumptions!D34,Assumptions!D36)</f>
        <v>0.04</v>
      </c>
      <c r="F5" s="16" t="n">
        <f aca="false">CHOOSE(Assumptions!$B$3,Assumptions!E32,Assumptions!E34,Assumptions!E36)</f>
        <v>0.05</v>
      </c>
      <c r="G5" s="16" t="n">
        <f aca="false">CHOOSE(Assumptions!$B$3,Assumptions!F32,Assumptions!F34,Assumptions!F36)</f>
        <v>0.05</v>
      </c>
    </row>
    <row r="6" customFormat="false" ht="15" hidden="false" customHeight="false" outlineLevel="0" collapsed="false">
      <c r="A6" s="0" t="s">
        <v>58</v>
      </c>
      <c r="B6" s="16"/>
      <c r="C6" s="16" t="n">
        <f aca="false">CHOOSE(Assumptions!$B$3,Assumptions!B33,Assumptions!B35,Assumptions!B37)</f>
        <v>0.056</v>
      </c>
      <c r="D6" s="16" t="n">
        <f aca="false">CHOOSE(Assumptions!$B$3,Assumptions!C33,Assumptions!C35,Assumptions!C37)</f>
        <v>0.066</v>
      </c>
      <c r="E6" s="16" t="n">
        <f aca="false">CHOOSE(Assumptions!$B$3,Assumptions!D33,Assumptions!D35,Assumptions!D37)</f>
        <v>0.085</v>
      </c>
      <c r="F6" s="16" t="n">
        <f aca="false">CHOOSE(Assumptions!$B$3,Assumptions!E33,Assumptions!E35,Assumptions!E37)</f>
        <v>0.1</v>
      </c>
      <c r="G6" s="16" t="n">
        <f aca="false">CHOOSE(Assumptions!$B$3,Assumptions!F33,Assumptions!F35,Assumptions!F37)</f>
        <v>0.11</v>
      </c>
    </row>
    <row r="7" customFormat="false" ht="15" hidden="false" customHeight="false" outlineLevel="0" collapsed="false">
      <c r="A7" s="0" t="s">
        <v>59</v>
      </c>
      <c r="B7" s="20"/>
      <c r="C7" s="20" t="n">
        <f aca="false">C4*C6</f>
        <v>2403.6762288</v>
      </c>
      <c r="D7" s="20" t="n">
        <f aca="false">D4*D6</f>
        <v>2845.08561454524</v>
      </c>
      <c r="E7" s="20" t="n">
        <f aca="false">E4*E6</f>
        <v>3810.69042917878</v>
      </c>
      <c r="F7" s="20" t="n">
        <f aca="false">F4*F6</f>
        <v>4707.32347133849</v>
      </c>
      <c r="G7" s="20" t="n">
        <f aca="false">G4*G6</f>
        <v>5436.95860939595</v>
      </c>
    </row>
    <row r="8" customFormat="false" ht="15" hidden="false" customHeight="false" outlineLevel="0" collapsed="false">
      <c r="A8" s="0" t="s">
        <v>60</v>
      </c>
      <c r="B8" s="20"/>
      <c r="C8" s="20" t="n">
        <f aca="false">-C7*Assumptions!$B$18</f>
        <v>-480.73524576</v>
      </c>
      <c r="D8" s="20" t="n">
        <f aca="false">-D7*Assumptions!$B$18</f>
        <v>-569.017122909048</v>
      </c>
      <c r="E8" s="20" t="n">
        <f aca="false">-E7*Assumptions!$B$18</f>
        <v>-762.138085835755</v>
      </c>
      <c r="F8" s="20" t="n">
        <f aca="false">-F7*Assumptions!$B$18</f>
        <v>-941.464694267698</v>
      </c>
      <c r="G8" s="20" t="n">
        <f aca="false">-G7*Assumptions!$B$18</f>
        <v>-1087.39172187919</v>
      </c>
    </row>
    <row r="9" customFormat="false" ht="15" hidden="false" customHeight="false" outlineLevel="0" collapsed="false">
      <c r="A9" s="0" t="s">
        <v>61</v>
      </c>
      <c r="B9" s="20"/>
      <c r="C9" s="20" t="n">
        <f aca="false">C7+C8</f>
        <v>1922.94098304</v>
      </c>
      <c r="D9" s="20" t="n">
        <f aca="false">D7+D8</f>
        <v>2276.06849163619</v>
      </c>
      <c r="E9" s="20" t="n">
        <f aca="false">E7+E8</f>
        <v>3048.55234334302</v>
      </c>
      <c r="F9" s="20" t="n">
        <f aca="false">F7+F8</f>
        <v>3765.85877707079</v>
      </c>
      <c r="G9" s="20" t="n">
        <f aca="false">G7+G8</f>
        <v>4349.56688751676</v>
      </c>
    </row>
    <row r="10" customFormat="false" ht="15" hidden="false" customHeight="false" outlineLevel="0" collapsed="false">
      <c r="A10" s="0" t="s">
        <v>62</v>
      </c>
      <c r="B10" s="20"/>
      <c r="C10" s="20" t="n">
        <f aca="false">C4*Assumptions!$B$24</f>
        <v>691.05691578</v>
      </c>
      <c r="D10" s="20" t="n">
        <f aca="false">D4*Assumptions!$B$24</f>
        <v>694.028460517854</v>
      </c>
      <c r="E10" s="20" t="n">
        <f aca="false">E4*Assumptions!$B$24</f>
        <v>721.789598938568</v>
      </c>
      <c r="F10" s="20" t="n">
        <f aca="false">F4*Assumptions!$B$24</f>
        <v>757.879078885497</v>
      </c>
      <c r="G10" s="20" t="n">
        <f aca="false">G4*Assumptions!$B$24</f>
        <v>795.773032829771</v>
      </c>
    </row>
    <row r="11" customFormat="false" ht="15" hidden="false" customHeight="false" outlineLevel="0" collapsed="false">
      <c r="A11" s="0" t="s">
        <v>63</v>
      </c>
      <c r="B11" s="20"/>
      <c r="C11" s="20" t="n">
        <f aca="false">-C4*Assumptions!$B$25</f>
        <v>-772.6102164</v>
      </c>
      <c r="D11" s="20" t="n">
        <f aca="false">-D4*Assumptions!$B$25</f>
        <v>-775.93244033052</v>
      </c>
      <c r="E11" s="20" t="n">
        <f aca="false">-E4*Assumptions!$B$25</f>
        <v>-806.969737943741</v>
      </c>
      <c r="F11" s="20" t="n">
        <f aca="false">-F4*Assumptions!$B$25</f>
        <v>-847.318224840928</v>
      </c>
      <c r="G11" s="20" t="n">
        <f aca="false">-G4*Assumptions!$B$25</f>
        <v>-889.684136082974</v>
      </c>
    </row>
    <row r="12" customFormat="false" ht="15" hidden="false" customHeight="false" outlineLevel="0" collapsed="false">
      <c r="A12" s="0" t="s">
        <v>64</v>
      </c>
      <c r="B12" s="20"/>
      <c r="C12" s="20" t="n">
        <f aca="false">-(C4-B4)*Assumptions!$B$26</f>
        <v>347.52102</v>
      </c>
      <c r="D12" s="20" t="n">
        <f aca="false">-(D4-C4)*Assumptions!$B$26</f>
        <v>-18.4567996140002</v>
      </c>
      <c r="E12" s="20" t="n">
        <f aca="false">-(E4-D4)*Assumptions!$B$26</f>
        <v>-172.42943118456</v>
      </c>
      <c r="F12" s="20" t="n">
        <f aca="false">-(F4-E4)*Assumptions!$B$26</f>
        <v>-224.158260539928</v>
      </c>
      <c r="G12" s="20" t="n">
        <f aca="false">-(G4-F4)*Assumptions!$B$26</f>
        <v>-235.366173566924</v>
      </c>
    </row>
    <row r="13" customFormat="false" ht="15" hidden="false" customHeight="false" outlineLevel="0" collapsed="false">
      <c r="A13" s="0" t="s">
        <v>65</v>
      </c>
      <c r="B13" s="20"/>
      <c r="C13" s="20" t="n">
        <f aca="false">C9+C10+C11+C12</f>
        <v>2188.90870242</v>
      </c>
      <c r="D13" s="20" t="n">
        <f aca="false">D9+D10+D11+D12</f>
        <v>2175.70771220953</v>
      </c>
      <c r="E13" s="20" t="n">
        <f aca="false">E9+E10+E11+E12</f>
        <v>2790.94277315329</v>
      </c>
      <c r="F13" s="20" t="n">
        <f aca="false">F9+F10+F11+F12</f>
        <v>3452.26137057543</v>
      </c>
      <c r="G13" s="20" t="n">
        <f aca="false">G9+G10+G11+G12</f>
        <v>4020.28961069664</v>
      </c>
    </row>
    <row r="14" customFormat="false" ht="15" hidden="false" customHeight="false" outlineLevel="0" collapsed="false">
      <c r="A14" s="0" t="s">
        <v>66</v>
      </c>
      <c r="B14" s="21"/>
      <c r="C14" s="21" t="n">
        <f aca="false">Assumptions!$B$28</f>
        <v>0.64</v>
      </c>
      <c r="D14" s="21" t="n">
        <v>1</v>
      </c>
      <c r="E14" s="21" t="n">
        <v>1</v>
      </c>
      <c r="F14" s="21" t="n">
        <v>1</v>
      </c>
      <c r="G14" s="21" t="n">
        <v>1</v>
      </c>
    </row>
    <row r="15" customFormat="false" ht="15" hidden="false" customHeight="false" outlineLevel="0" collapsed="false">
      <c r="A15" s="0" t="s">
        <v>67</v>
      </c>
      <c r="B15" s="20"/>
      <c r="C15" s="20" t="n">
        <f aca="false">C13*C14</f>
        <v>1400.9015695488</v>
      </c>
      <c r="D15" s="20" t="n">
        <f aca="false">D13*D14</f>
        <v>2175.70771220953</v>
      </c>
      <c r="E15" s="20" t="n">
        <f aca="false">E13*E14</f>
        <v>2790.94277315329</v>
      </c>
      <c r="F15" s="20" t="n">
        <f aca="false">F13*F14</f>
        <v>3452.26137057543</v>
      </c>
      <c r="G15" s="20" t="n">
        <f aca="false">G13*G14</f>
        <v>4020.28961069664</v>
      </c>
    </row>
    <row r="16" customFormat="false" ht="15" hidden="false" customHeight="false" outlineLevel="0" collapsed="false">
      <c r="A16" s="0" t="s">
        <v>68</v>
      </c>
      <c r="B16" s="21"/>
      <c r="C16" s="21" t="n">
        <f aca="false">Assumptions!$B$28</f>
        <v>0.64</v>
      </c>
      <c r="D16" s="21" t="n">
        <f aca="false">C16+1</f>
        <v>1.64</v>
      </c>
      <c r="E16" s="21" t="n">
        <f aca="false">D16+1</f>
        <v>2.64</v>
      </c>
      <c r="F16" s="21" t="n">
        <f aca="false">E16+1</f>
        <v>3.64</v>
      </c>
      <c r="G16" s="21" t="n">
        <f aca="false">F16+1</f>
        <v>4.64</v>
      </c>
    </row>
    <row r="17" customFormat="false" ht="15" hidden="false" customHeight="false" outlineLevel="0" collapsed="false">
      <c r="A17" s="0" t="s">
        <v>69</v>
      </c>
      <c r="B17" s="22"/>
      <c r="C17" s="22" t="n">
        <f aca="false">1/(1+Assumptions!$B$21)^C16</f>
        <v>0.942672377670939</v>
      </c>
      <c r="D17" s="22" t="n">
        <f aca="false">1/(1+Assumptions!$B$21)^D16</f>
        <v>0.859606127520271</v>
      </c>
      <c r="E17" s="22" t="n">
        <f aca="false">1/(1+Assumptions!$B$21)^E16</f>
        <v>0.783859495592787</v>
      </c>
      <c r="F17" s="22" t="n">
        <f aca="false">1/(1+Assumptions!$B$21)^F16</f>
        <v>0.71478749296897</v>
      </c>
      <c r="G17" s="22" t="n">
        <f aca="false">1/(1+Assumptions!$B$21)^G16</f>
        <v>0.65180196575725</v>
      </c>
    </row>
    <row r="18" customFormat="false" ht="15" hidden="false" customHeight="false" outlineLevel="0" collapsed="false">
      <c r="A18" s="0" t="s">
        <v>70</v>
      </c>
      <c r="B18" s="20"/>
      <c r="C18" s="20" t="n">
        <f aca="false">C15*C17</f>
        <v>1320.59121344952</v>
      </c>
      <c r="D18" s="20" t="n">
        <f aca="false">D15*D17</f>
        <v>1870.25168110842</v>
      </c>
      <c r="E18" s="20" t="n">
        <f aca="false">E15*E17</f>
        <v>2187.70699439227</v>
      </c>
      <c r="F18" s="20" t="n">
        <f aca="false">F15*F17</f>
        <v>2467.63325014723</v>
      </c>
      <c r="G18" s="20" t="n">
        <f aca="false">G15*G17</f>
        <v>2620.43267116552</v>
      </c>
    </row>
    <row r="20" customFormat="false" ht="15" hidden="false" customHeight="false" outlineLevel="0" collapsed="false">
      <c r="A20" s="18" t="s">
        <v>71</v>
      </c>
      <c r="B20" s="19" t="s">
        <v>72</v>
      </c>
    </row>
    <row r="21" customFormat="false" ht="15" hidden="false" customHeight="false" outlineLevel="0" collapsed="false">
      <c r="A21" s="0" t="s">
        <v>73</v>
      </c>
      <c r="B21" s="23" t="n">
        <f aca="false">SUM(C18:G18)</f>
        <v>10466.615810263</v>
      </c>
    </row>
    <row r="22" customFormat="false" ht="15" hidden="false" customHeight="false" outlineLevel="0" collapsed="false">
      <c r="A22" s="0" t="s">
        <v>74</v>
      </c>
      <c r="B22" s="23" t="n">
        <f aca="false">G13*(1+Assumptions!B27)/(Assumptions!B21-Assumptions!B27)</f>
        <v>62144.9322516035</v>
      </c>
    </row>
    <row r="23" customFormat="false" ht="15" hidden="false" customHeight="false" outlineLevel="0" collapsed="false">
      <c r="A23" s="0" t="s">
        <v>75</v>
      </c>
      <c r="B23" s="23" t="n">
        <f aca="false">B22/(1+Assumptions!B21)^G16</f>
        <v>40506.1890034462</v>
      </c>
    </row>
    <row r="24" customFormat="false" ht="15" hidden="false" customHeight="false" outlineLevel="0" collapsed="false">
      <c r="A24" s="5" t="s">
        <v>76</v>
      </c>
      <c r="B24" s="24" t="n">
        <f aca="false">B21+B23</f>
        <v>50972.8048137092</v>
      </c>
    </row>
    <row r="25" customFormat="false" ht="15" hidden="false" customHeight="false" outlineLevel="0" collapsed="false">
      <c r="A25" s="0" t="s">
        <v>77</v>
      </c>
      <c r="B25" s="20" t="n">
        <f aca="false">-Assumptions!B8</f>
        <v>-7942</v>
      </c>
    </row>
    <row r="26" customFormat="false" ht="15" hidden="false" customHeight="false" outlineLevel="0" collapsed="false">
      <c r="A26" s="0" t="s">
        <v>78</v>
      </c>
      <c r="B26" s="23" t="n">
        <f aca="false">Assumptions!B9</f>
        <v>9027</v>
      </c>
    </row>
    <row r="27" customFormat="false" ht="15" hidden="false" customHeight="false" outlineLevel="0" collapsed="false">
      <c r="A27" s="5" t="s">
        <v>79</v>
      </c>
      <c r="B27" s="24" t="n">
        <f aca="false">SUM(B24:B26)</f>
        <v>52057.8048137092</v>
      </c>
    </row>
    <row r="28" customFormat="false" ht="15" hidden="false" customHeight="false" outlineLevel="0" collapsed="false">
      <c r="A28" s="0" t="s">
        <v>20</v>
      </c>
      <c r="B28" s="23" t="n">
        <f aca="false">Assumptions!B6</f>
        <v>1480</v>
      </c>
    </row>
    <row r="29" customFormat="false" ht="15" hidden="false" customHeight="false" outlineLevel="0" collapsed="false">
      <c r="A29" s="5" t="s">
        <v>80</v>
      </c>
      <c r="B29" s="2" t="n">
        <f aca="false">B27/B28</f>
        <v>35.1741924416954</v>
      </c>
    </row>
    <row r="30" customFormat="false" ht="15" hidden="false" customHeight="false" outlineLevel="0" collapsed="false">
      <c r="A30" s="5" t="s">
        <v>81</v>
      </c>
      <c r="B30" s="4" t="n">
        <f aca="false">B29/Assumptions!B5-1</f>
        <v>0.0133734497751483</v>
      </c>
    </row>
    <row r="31" customFormat="false" ht="15" hidden="false" customHeight="false" outlineLevel="0" collapsed="false">
      <c r="A31" s="0" t="s">
        <v>7</v>
      </c>
      <c r="B31" s="16" t="n">
        <f aca="false">B23/B24</f>
        <v>0.794662745192944</v>
      </c>
    </row>
    <row r="32" customFormat="false" ht="15" hidden="false" customHeight="false" outlineLevel="0" collapsed="false">
      <c r="A32" s="0" t="s">
        <v>82</v>
      </c>
      <c r="B32" s="25" t="n">
        <f aca="false">B22/(G7+G10)</f>
        <v>9.97073768274922</v>
      </c>
    </row>
    <row r="34" customFormat="false" ht="15" hidden="false" customHeight="false" outlineLevel="0" collapsed="false">
      <c r="A34" s="18" t="s">
        <v>83</v>
      </c>
      <c r="B34" s="19" t="s">
        <v>72</v>
      </c>
    </row>
    <row r="35" customFormat="false" ht="15" hidden="false" customHeight="false" outlineLevel="0" collapsed="false">
      <c r="A35" s="0" t="s">
        <v>84</v>
      </c>
      <c r="B35" s="23" t="n">
        <f aca="false">G7+G10</f>
        <v>6232.73164222573</v>
      </c>
    </row>
    <row r="36" customFormat="false" ht="15" hidden="false" customHeight="false" outlineLevel="0" collapsed="false">
      <c r="A36" s="0" t="s">
        <v>85</v>
      </c>
      <c r="B36" s="25" t="n">
        <f aca="false">Assumptions!B29</f>
        <v>12</v>
      </c>
    </row>
    <row r="37" customFormat="false" ht="15" hidden="false" customHeight="false" outlineLevel="0" collapsed="false">
      <c r="A37" s="0" t="s">
        <v>86</v>
      </c>
      <c r="B37" s="23" t="n">
        <f aca="false">B35*B36</f>
        <v>74792.7797067087</v>
      </c>
    </row>
    <row r="38" customFormat="false" ht="15" hidden="false" customHeight="false" outlineLevel="0" collapsed="false">
      <c r="A38" s="0" t="s">
        <v>75</v>
      </c>
      <c r="B38" s="23" t="n">
        <f aca="false">B37/(1+Assumptions!B21)^G16</f>
        <v>48750.0808372817</v>
      </c>
    </row>
    <row r="39" customFormat="false" ht="15" hidden="false" customHeight="false" outlineLevel="0" collapsed="false">
      <c r="A39" s="0" t="s">
        <v>76</v>
      </c>
      <c r="B39" s="23" t="n">
        <f aca="false">B21+B38</f>
        <v>59216.6966475446</v>
      </c>
    </row>
    <row r="40" customFormat="false" ht="15" hidden="false" customHeight="false" outlineLevel="0" collapsed="false">
      <c r="A40" s="0" t="s">
        <v>79</v>
      </c>
      <c r="B40" s="23" t="n">
        <f aca="false">B39+B25+B26</f>
        <v>60301.6966475446</v>
      </c>
    </row>
    <row r="41" customFormat="false" ht="15" hidden="false" customHeight="false" outlineLevel="0" collapsed="false">
      <c r="A41" s="5" t="s">
        <v>80</v>
      </c>
      <c r="B41" s="2" t="n">
        <f aca="false">B40/B28</f>
        <v>40.7443896267193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26" t="s">
        <v>87</v>
      </c>
    </row>
    <row r="2" customFormat="false" ht="15" hidden="false" customHeight="false" outlineLevel="0" collapsed="false">
      <c r="A2" s="0" t="s">
        <v>88</v>
      </c>
    </row>
    <row r="4" customFormat="false" ht="15" hidden="false" customHeight="false" outlineLevel="0" collapsed="false">
      <c r="A4" s="18" t="s">
        <v>89</v>
      </c>
      <c r="B4" s="19" t="s">
        <v>90</v>
      </c>
      <c r="C4" s="19" t="s">
        <v>91</v>
      </c>
      <c r="D4" s="19" t="s">
        <v>92</v>
      </c>
      <c r="E4" s="19" t="s">
        <v>93</v>
      </c>
      <c r="F4" s="19" t="s">
        <v>94</v>
      </c>
    </row>
    <row r="5" customFormat="false" ht="15" hidden="false" customHeight="false" outlineLevel="0" collapsed="false">
      <c r="A5" s="0" t="s">
        <v>95</v>
      </c>
      <c r="B5" s="0" t="s">
        <v>96</v>
      </c>
      <c r="C5" s="0" t="s">
        <v>97</v>
      </c>
      <c r="D5" s="17" t="n">
        <v>7.507</v>
      </c>
      <c r="E5" s="17" t="n">
        <v>1.83</v>
      </c>
      <c r="F5" s="0" t="s">
        <v>98</v>
      </c>
    </row>
    <row r="6" customFormat="false" ht="15" hidden="false" customHeight="false" outlineLevel="0" collapsed="false">
      <c r="A6" s="0" t="s">
        <v>99</v>
      </c>
      <c r="B6" s="0" t="s">
        <v>100</v>
      </c>
      <c r="C6" s="0" t="s">
        <v>101</v>
      </c>
      <c r="D6" s="17" t="n">
        <v>9.306</v>
      </c>
      <c r="E6" s="17" t="n">
        <v>2.28</v>
      </c>
      <c r="F6" s="0" t="s">
        <v>98</v>
      </c>
    </row>
    <row r="7" customFormat="false" ht="15" hidden="false" customHeight="false" outlineLevel="0" collapsed="false">
      <c r="A7" s="0" t="s">
        <v>102</v>
      </c>
      <c r="B7" s="0" t="s">
        <v>103</v>
      </c>
      <c r="C7" s="0" t="s">
        <v>104</v>
      </c>
      <c r="D7" s="17" t="n">
        <v>8.731</v>
      </c>
      <c r="E7" s="17" t="n">
        <v>1.102</v>
      </c>
      <c r="F7" s="0" t="s">
        <v>98</v>
      </c>
    </row>
    <row r="8" customFormat="false" ht="15" hidden="false" customHeight="false" outlineLevel="0" collapsed="false">
      <c r="A8" s="0" t="s">
        <v>105</v>
      </c>
      <c r="B8" s="0" t="s">
        <v>106</v>
      </c>
      <c r="C8" s="0" t="s">
        <v>107</v>
      </c>
      <c r="D8" s="17" t="n">
        <v>9.982</v>
      </c>
      <c r="E8" s="17" t="n">
        <v>0.775</v>
      </c>
      <c r="F8" s="0" t="s">
        <v>98</v>
      </c>
    </row>
    <row r="9" customFormat="false" ht="15" hidden="false" customHeight="false" outlineLevel="0" collapsed="false">
      <c r="A9" s="0" t="s">
        <v>108</v>
      </c>
      <c r="B9" s="0" t="s">
        <v>109</v>
      </c>
      <c r="C9" s="0" t="s">
        <v>110</v>
      </c>
      <c r="D9" s="17" t="n">
        <v>12.216</v>
      </c>
      <c r="E9" s="17" t="n">
        <v>3.862</v>
      </c>
      <c r="F9" s="0" t="s">
        <v>98</v>
      </c>
    </row>
    <row r="10" customFormat="false" ht="15" hidden="false" customHeight="false" outlineLevel="0" collapsed="false">
      <c r="A10" s="0" t="s">
        <v>111</v>
      </c>
      <c r="B10" s="0" t="s">
        <v>112</v>
      </c>
      <c r="C10" s="0" t="s">
        <v>107</v>
      </c>
      <c r="D10" s="17" t="n">
        <v>23.099</v>
      </c>
      <c r="E10" s="17" t="n">
        <v>3.866</v>
      </c>
      <c r="F10" s="0" t="s">
        <v>98</v>
      </c>
    </row>
    <row r="11" customFormat="false" ht="15" hidden="false" customHeight="false" outlineLevel="0" collapsed="false">
      <c r="A11" s="0" t="s">
        <v>113</v>
      </c>
      <c r="B11" s="0" t="s">
        <v>114</v>
      </c>
      <c r="C11" s="0" t="s">
        <v>107</v>
      </c>
      <c r="D11" s="17" t="n">
        <v>20.211</v>
      </c>
      <c r="E11" s="17" t="n">
        <v>3.343</v>
      </c>
      <c r="F11" s="0" t="s">
        <v>98</v>
      </c>
    </row>
    <row r="12" customFormat="false" ht="15" hidden="false" customHeight="false" outlineLevel="0" collapsed="false">
      <c r="A12" s="0" t="s">
        <v>115</v>
      </c>
    </row>
    <row r="14" customFormat="false" ht="15" hidden="false" customHeight="false" outlineLevel="0" collapsed="false">
      <c r="A14" s="0" t="s">
        <v>116</v>
      </c>
      <c r="D14" s="25" t="n">
        <f aca="false">QUARTILE(D5:D11,1)</f>
        <v>9.0185</v>
      </c>
    </row>
    <row r="15" customFormat="false" ht="15" hidden="false" customHeight="false" outlineLevel="0" collapsed="false">
      <c r="A15" s="0" t="s">
        <v>117</v>
      </c>
      <c r="D15" s="25" t="n">
        <f aca="false">MEDIAN(D5:D11)</f>
        <v>9.982</v>
      </c>
    </row>
    <row r="16" customFormat="false" ht="15" hidden="false" customHeight="false" outlineLevel="0" collapsed="false">
      <c r="A16" s="0" t="s">
        <v>118</v>
      </c>
      <c r="D16" s="25" t="n">
        <f aca="false">QUARTILE(D5:D11,3)</f>
        <v>16.2135</v>
      </c>
    </row>
    <row r="18" customFormat="false" ht="15" hidden="false" customHeight="false" outlineLevel="0" collapsed="false">
      <c r="A18" s="0" t="s">
        <v>119</v>
      </c>
      <c r="D18" s="23" t="n">
        <f aca="false">3797+747</f>
        <v>4544</v>
      </c>
    </row>
    <row r="19" customFormat="false" ht="15" hidden="false" customHeight="false" outlineLevel="0" collapsed="false">
      <c r="A19" s="0" t="s">
        <v>120</v>
      </c>
      <c r="D19" s="25" t="n">
        <f aca="false">(Assumptions!B7+Assumptions!B8-Assumptions!B9)/D18</f>
        <v>11.0649647887324</v>
      </c>
    </row>
    <row r="21" customFormat="false" ht="15" hidden="false" customHeight="false" outlineLevel="0" collapsed="false">
      <c r="A21" s="18" t="s">
        <v>121</v>
      </c>
      <c r="B21" s="19"/>
      <c r="C21" s="19"/>
      <c r="D21" s="19" t="s">
        <v>122</v>
      </c>
      <c r="E21" s="19" t="s">
        <v>123</v>
      </c>
      <c r="F21" s="19" t="s">
        <v>124</v>
      </c>
    </row>
    <row r="22" customFormat="false" ht="15" hidden="false" customHeight="false" outlineLevel="0" collapsed="false">
      <c r="A22" s="0" t="s">
        <v>125</v>
      </c>
      <c r="D22" s="27" t="n">
        <f aca="false">(D14*$D$18-Assumptions!$B$8+Assumptions!$B$9)/Assumptions!$B$6</f>
        <v>28.4223405405405</v>
      </c>
      <c r="E22" s="27" t="n">
        <f aca="false">(D15*$D$18-Assumptions!$B$8+Assumptions!$B$9)/Assumptions!$B$6</f>
        <v>31.3805459459459</v>
      </c>
      <c r="F22" s="27" t="n">
        <f aca="false">(D16*$D$18-Assumptions!$B$8+Assumptions!$B$9)/Assumptions!$B$6</f>
        <v>50.5129351351351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5" t="s">
        <v>126</v>
      </c>
    </row>
    <row r="3" customFormat="false" ht="15" hidden="false" customHeight="false" outlineLevel="0" collapsed="false">
      <c r="A3" s="5" t="s">
        <v>127</v>
      </c>
    </row>
    <row r="4" customFormat="false" ht="15" hidden="false" customHeight="false" outlineLevel="0" collapsed="false">
      <c r="A4" s="18" t="s">
        <v>128</v>
      </c>
      <c r="B4" s="19" t="s">
        <v>129</v>
      </c>
      <c r="C4" s="19" t="s">
        <v>130</v>
      </c>
      <c r="D4" s="19" t="s">
        <v>131</v>
      </c>
      <c r="E4" s="19" t="s">
        <v>132</v>
      </c>
      <c r="F4" s="19" t="s">
        <v>133</v>
      </c>
    </row>
    <row r="5" customFormat="false" ht="15" hidden="false" customHeight="false" outlineLevel="0" collapsed="false">
      <c r="A5" s="5" t="s">
        <v>134</v>
      </c>
      <c r="B5" s="27" t="n">
        <v>36.2793204635355</v>
      </c>
      <c r="C5" s="27" t="n">
        <v>38.7234399636564</v>
      </c>
      <c r="D5" s="27" t="n">
        <v>41.5991316836446</v>
      </c>
      <c r="E5" s="27" t="n">
        <v>45.031772675548</v>
      </c>
      <c r="F5" s="27" t="n">
        <v>49.2005118984934</v>
      </c>
    </row>
    <row r="6" customFormat="false" ht="15" hidden="false" customHeight="false" outlineLevel="0" collapsed="false">
      <c r="A6" s="5" t="s">
        <v>135</v>
      </c>
      <c r="B6" s="27" t="n">
        <v>33.6529182470976</v>
      </c>
      <c r="C6" s="27" t="n">
        <v>35.7209881616586</v>
      </c>
      <c r="D6" s="27" t="n">
        <v>38.1246043905302</v>
      </c>
      <c r="E6" s="27" t="n">
        <v>40.9526409440021</v>
      </c>
      <c r="F6" s="27" t="n">
        <v>44.3283971603496</v>
      </c>
    </row>
    <row r="7" customFormat="false" ht="15" hidden="false" customHeight="false" outlineLevel="0" collapsed="false">
      <c r="A7" s="5" t="s">
        <v>136</v>
      </c>
      <c r="B7" s="27" t="n">
        <v>31.3717000871995</v>
      </c>
      <c r="C7" s="27" t="n">
        <v>33.1402386924754</v>
      </c>
      <c r="D7" s="28" t="n">
        <v>35.1741924416954</v>
      </c>
      <c r="E7" s="27" t="n">
        <v>37.53815712489</v>
      </c>
      <c r="F7" s="27" t="n">
        <v>40.3195406314947</v>
      </c>
    </row>
    <row r="8" customFormat="false" ht="15" hidden="false" customHeight="false" outlineLevel="0" collapsed="false">
      <c r="A8" s="5" t="s">
        <v>137</v>
      </c>
      <c r="B8" s="27" t="n">
        <v>29.3721874845502</v>
      </c>
      <c r="C8" s="27" t="n">
        <v>30.898595321922</v>
      </c>
      <c r="D8" s="27" t="n">
        <v>32.6380906388227</v>
      </c>
      <c r="E8" s="27" t="n">
        <v>34.6386424000375</v>
      </c>
      <c r="F8" s="27" t="n">
        <v>36.963785590844</v>
      </c>
    </row>
    <row r="9" customFormat="false" ht="15" hidden="false" customHeight="false" outlineLevel="0" collapsed="false">
      <c r="A9" s="5" t="s">
        <v>138</v>
      </c>
      <c r="B9" s="27" t="n">
        <v>27.6055578336902</v>
      </c>
      <c r="C9" s="27" t="n">
        <v>28.9336991694944</v>
      </c>
      <c r="D9" s="27" t="n">
        <v>30.4351526191831</v>
      </c>
      <c r="E9" s="27" t="n">
        <v>32.1462099004237</v>
      </c>
      <c r="F9" s="27" t="n">
        <v>34.1140557602357</v>
      </c>
    </row>
    <row r="11" customFormat="false" ht="15" hidden="false" customHeight="false" outlineLevel="0" collapsed="false">
      <c r="A11" s="5" t="s">
        <v>139</v>
      </c>
    </row>
    <row r="12" customFormat="false" ht="28.35" hidden="false" customHeight="false" outlineLevel="0" collapsed="false">
      <c r="A12" s="18" t="s">
        <v>140</v>
      </c>
      <c r="B12" s="19" t="s">
        <v>141</v>
      </c>
      <c r="C12" s="19" t="s">
        <v>142</v>
      </c>
      <c r="D12" s="19" t="s">
        <v>143</v>
      </c>
      <c r="E12" s="19" t="s">
        <v>144</v>
      </c>
      <c r="F12" s="19" t="s">
        <v>145</v>
      </c>
    </row>
    <row r="13" customFormat="false" ht="15" hidden="false" customHeight="false" outlineLevel="0" collapsed="false">
      <c r="A13" s="0" t="s">
        <v>146</v>
      </c>
      <c r="B13" s="27" t="n">
        <v>24.1320356239705</v>
      </c>
      <c r="C13" s="16" t="n">
        <v>-0.30475264696138</v>
      </c>
      <c r="D13" s="16" t="n">
        <v>0.08</v>
      </c>
      <c r="E13" s="16" t="n">
        <v>0.768613965222062</v>
      </c>
      <c r="F13" s="29" t="n">
        <v>0.25</v>
      </c>
    </row>
    <row r="14" customFormat="false" ht="15" hidden="false" customHeight="false" outlineLevel="0" collapsed="false">
      <c r="A14" s="0" t="s">
        <v>147</v>
      </c>
      <c r="B14" s="27" t="n">
        <v>35.1741924416954</v>
      </c>
      <c r="C14" s="16" t="n">
        <v>0.0133734497751485</v>
      </c>
      <c r="D14" s="16" t="n">
        <v>0.11</v>
      </c>
      <c r="E14" s="16" t="n">
        <v>0.794662745192944</v>
      </c>
      <c r="F14" s="29" t="n">
        <v>0.5</v>
      </c>
    </row>
    <row r="15" customFormat="false" ht="15" hidden="false" customHeight="false" outlineLevel="0" collapsed="false">
      <c r="A15" s="0" t="s">
        <v>148</v>
      </c>
      <c r="B15" s="27" t="n">
        <v>44.7701507904829</v>
      </c>
      <c r="C15" s="16" t="n">
        <v>0.289834364462197</v>
      </c>
      <c r="D15" s="16" t="n">
        <v>0.135</v>
      </c>
      <c r="E15" s="16" t="n">
        <v>0.809734863789716</v>
      </c>
      <c r="F15" s="29" t="n">
        <v>0.25</v>
      </c>
    </row>
    <row r="16" customFormat="false" ht="15" hidden="false" customHeight="false" outlineLevel="0" collapsed="false">
      <c r="A16" s="5" t="s">
        <v>149</v>
      </c>
      <c r="B16" s="27" t="n">
        <v>34.812642824461</v>
      </c>
      <c r="C16" s="16" t="n">
        <v>0.00295715426277843</v>
      </c>
    </row>
    <row r="18" customFormat="false" ht="15" hidden="false" customHeight="false" outlineLevel="0" collapsed="false">
      <c r="A18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2"/>
  </cols>
  <sheetData>
    <row r="1" customFormat="false" ht="16.15" hidden="false" customHeight="false" outlineLevel="0" collapsed="false">
      <c r="A1" s="26" t="s">
        <v>151</v>
      </c>
    </row>
    <row r="3" customFormat="false" ht="15" hidden="false" customHeight="false" outlineLevel="0" collapsed="false">
      <c r="A3" s="18" t="s">
        <v>152</v>
      </c>
      <c r="B3" s="19" t="s">
        <v>153</v>
      </c>
      <c r="C3" s="19" t="s">
        <v>154</v>
      </c>
      <c r="D3" s="19" t="s">
        <v>155</v>
      </c>
    </row>
    <row r="4" customFormat="false" ht="15" hidden="false" customHeight="false" outlineLevel="0" collapsed="false">
      <c r="A4" s="0" t="s">
        <v>156</v>
      </c>
      <c r="B4" s="27" t="n">
        <v>31.97</v>
      </c>
      <c r="C4" s="27" t="n">
        <v>70.44</v>
      </c>
      <c r="D4" s="27" t="n">
        <f aca="false">AVERAGE(B4:C4)</f>
        <v>51.205</v>
      </c>
    </row>
    <row r="5" customFormat="false" ht="15" hidden="false" customHeight="false" outlineLevel="0" collapsed="false">
      <c r="A5" s="0" t="s">
        <v>157</v>
      </c>
      <c r="B5" s="27" t="n">
        <v>24.1320356239705</v>
      </c>
      <c r="C5" s="27" t="n">
        <v>44.7701507904829</v>
      </c>
      <c r="D5" s="27" t="n">
        <f aca="false">AVERAGE(B5:C5)</f>
        <v>34.4510932072267</v>
      </c>
    </row>
    <row r="6" customFormat="false" ht="15" hidden="false" customHeight="false" outlineLevel="0" collapsed="false">
      <c r="A6" s="0" t="s">
        <v>158</v>
      </c>
      <c r="B6" s="27" t="n">
        <f aca="false">Comps!D22</f>
        <v>28.4223405405405</v>
      </c>
      <c r="C6" s="27" t="n">
        <f aca="false">Comps!F22</f>
        <v>50.5129351351351</v>
      </c>
      <c r="D6" s="27" t="n">
        <f aca="false">AVERAGE(B6:C6)</f>
        <v>39.4676378378378</v>
      </c>
    </row>
    <row r="8" customFormat="false" ht="15" hidden="false" customHeight="false" outlineLevel="0" collapsed="false">
      <c r="A8" s="0" t="s">
        <v>159</v>
      </c>
      <c r="B8" s="27" t="n">
        <f aca="false">Assumptions!B5</f>
        <v>34.71</v>
      </c>
    </row>
    <row r="9" customFormat="false" ht="15" hidden="false" customHeight="false" outlineLevel="0" collapsed="false">
      <c r="A9" s="0" t="s">
        <v>160</v>
      </c>
      <c r="B9" s="27" t="n">
        <f aca="false">DCF!B29</f>
        <v>35.1741924416954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2026-10-10T22:00:29Z</dcterms:created>
  <dc:creator>openpyxl</dc:creator>
  <dc:description/>
  <dc:language>en-US</dc:language>
  <cp:lastModifiedBy/>
  <dcterms:modified xsi:type="dcterms:W3CDTF">2026-10-10T22:00:29Z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